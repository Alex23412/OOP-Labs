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Тесты" sheetId="1" r:id="rId1"/>
    <sheet name="Белый ящик" sheetId="2" r:id="rId2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0" i="2" l="1"/>
  <c r="F8" i="2"/>
  <c r="F7" i="2"/>
  <c r="F6" i="2"/>
  <c r="F5" i="2"/>
  <c r="F4" i="2"/>
  <c r="F3" i="2"/>
  <c r="F2" i="2"/>
  <c r="E5" i="1"/>
  <c r="G5" i="1" s="1"/>
  <c r="G4" i="1"/>
  <c r="E4" i="1"/>
  <c r="H4" i="1" s="1"/>
  <c r="E3" i="1"/>
  <c r="G3" i="1" s="1"/>
  <c r="G2" i="1"/>
  <c r="E2" i="1"/>
  <c r="H2" i="1" s="1"/>
  <c r="H3" i="1" l="1"/>
  <c r="H5" i="1"/>
</calcChain>
</file>

<file path=xl/sharedStrings.xml><?xml version="1.0" encoding="utf-8"?>
<sst xmlns="http://schemas.openxmlformats.org/spreadsheetml/2006/main" count="52" uniqueCount="28">
  <si>
    <t>№</t>
  </si>
  <si>
    <t>x (точка)</t>
  </si>
  <si>
    <t>SN (n=35)</t>
  </si>
  <si>
    <t>SE (ε=0,0001)</t>
  </si>
  <si>
    <t>Y (точное)</t>
  </si>
  <si>
    <t>Число членов SE</t>
  </si>
  <si>
    <t>|SN − Y|</t>
  </si>
  <si>
    <t>|SE − Y|</t>
  </si>
  <si>
    <t>Т1</t>
  </si>
  <si>
    <t>Т2</t>
  </si>
  <si>
    <t>Т3</t>
  </si>
  <si>
    <t>Т4</t>
  </si>
  <si>
    <t>Ветвление в коде</t>
  </si>
  <si>
    <t>Т1 (x=0,1)</t>
  </si>
  <si>
    <t>Т2 (x=0,3333)</t>
  </si>
  <si>
    <t>Т3 (x=0,5667)</t>
  </si>
  <si>
    <t>Т4 (x=0,8)</t>
  </si>
  <si>
    <t>Покрыто</t>
  </si>
  <si>
    <t>цикл SN (for i&lt;=n) выполняется (условие true)</t>
  </si>
  <si>
    <t>+</t>
  </si>
  <si>
    <t>цикл SN завершается (i&gt;n, условие false)</t>
  </si>
  <si>
    <t>цикл SE (do-while) выполняется</t>
  </si>
  <si>
    <t>условие while |term| &gt;= ε = true (цикл SE продолжается)</t>
  </si>
  <si>
    <t>условие while |term| &gt;= ε = false (цикл SE завершается)</t>
  </si>
  <si>
    <t>внешний цикл по x продолжается (i&lt;=k = true)</t>
  </si>
  <si>
    <t>внешний цикл по x завершается (i&gt;k = false)</t>
  </si>
  <si>
    <t>Покрытие ветвей кода (доля ветвей, пройденных хотя бы одним тестом)</t>
  </si>
  <si>
    <t>Все ветви кода покрыты (true и false для каждого условия) = 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</si>
</sst>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CCFFFF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9" fontId="1" fillId="0" borderId="0" xfId="0" applyNumberFormat="1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zoomScaleNormal="100" workbookViewId="0">
      <selection activeCell="A7" sqref="A7"/>
    </sheetView>
  </sheetViews>
  <sheetFormatPr defaultColWidth="8.7109375" defaultRowHeight="15" x14ac:dyDescent="0.25"/>
  <cols>
    <col min="1" max="1" width="6" customWidth="1"/>
    <col min="2" max="2" width="12" customWidth="1"/>
    <col min="3" max="3" width="14" customWidth="1"/>
    <col min="4" max="4" width="16" customWidth="1"/>
    <col min="5" max="5" width="14" customWidth="1"/>
    <col min="6" max="6" width="16" customWidth="1"/>
    <col min="7" max="8" width="12" customWidth="1"/>
  </cols>
  <sheetData>
    <row r="1" spans="1:8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0.1</v>
      </c>
      <c r="C2" s="4">
        <v>4.7155339735620701E-2</v>
      </c>
      <c r="D2" s="4">
        <v>4.7154166666666698E-2</v>
      </c>
      <c r="E2" s="4">
        <f>-0.5*LN(1-2*B2*COS(PI()/3)+B2^2)</f>
        <v>4.7155339735620708E-2</v>
      </c>
      <c r="F2" s="2">
        <v>4</v>
      </c>
      <c r="G2" s="4">
        <f>ABS(C2-E2)</f>
        <v>6.9388939039072284E-18</v>
      </c>
      <c r="H2" s="4">
        <f>ABS(D2-E2)</f>
        <v>1.1730689540093153E-6</v>
      </c>
    </row>
    <row r="3" spans="1:8" x14ac:dyDescent="0.25">
      <c r="A3" s="2" t="s">
        <v>9</v>
      </c>
      <c r="B3" s="3">
        <v>0.33333333333333298</v>
      </c>
      <c r="C3" s="4">
        <v>0.125657214140453</v>
      </c>
      <c r="D3" s="4">
        <v>0.125672806845646</v>
      </c>
      <c r="E3" s="4">
        <f>-0.5*LN(1-2*B3*COS(PI()/3)+B3^2)</f>
        <v>0.12565721414045297</v>
      </c>
      <c r="F3" s="2">
        <v>7</v>
      </c>
      <c r="G3" s="4">
        <f>ABS(C3-E3)</f>
        <v>2.7755575615628914E-17</v>
      </c>
      <c r="H3" s="4">
        <f>ABS(D3-E3)</f>
        <v>1.5592705193023804E-5</v>
      </c>
    </row>
    <row r="4" spans="1:8" x14ac:dyDescent="0.25">
      <c r="A4" s="2" t="s">
        <v>10</v>
      </c>
      <c r="B4" s="3">
        <v>0.56666666666666698</v>
      </c>
      <c r="C4" s="4">
        <v>0.14088681784759299</v>
      </c>
      <c r="D4" s="4">
        <v>0.14079712405573</v>
      </c>
      <c r="E4" s="4">
        <f>-0.5*LN(1-2*B4*COS(PI()/3)+B4^2)</f>
        <v>0.14088681788280738</v>
      </c>
      <c r="F4" s="2">
        <v>11</v>
      </c>
      <c r="G4" s="4">
        <f>ABS(C4-E4)</f>
        <v>3.5214386961968103E-11</v>
      </c>
      <c r="H4" s="4">
        <f>ABS(D4-E4)</f>
        <v>8.9693827077380606E-5</v>
      </c>
    </row>
    <row r="5" spans="1:8" x14ac:dyDescent="0.25">
      <c r="A5" s="2" t="s">
        <v>11</v>
      </c>
      <c r="B5" s="3">
        <v>0.8</v>
      </c>
      <c r="C5" s="4">
        <v>8.7170040471491697E-2</v>
      </c>
      <c r="D5" s="4">
        <v>8.7301582895211796E-2</v>
      </c>
      <c r="E5" s="4">
        <f>-0.5*LN(1-2*B5*COS(PI()/3)+B5^2)</f>
        <v>8.7176693572388955E-2</v>
      </c>
      <c r="F5" s="2">
        <v>25</v>
      </c>
      <c r="G5" s="4">
        <f>ABS(C5-E5)</f>
        <v>6.653100897258124E-6</v>
      </c>
      <c r="H5" s="4">
        <f>ABS(D5-E5)</f>
        <v>1.2488932282284093E-4</v>
      </c>
    </row>
    <row r="7" spans="1:8" x14ac:dyDescent="0.25">
      <c r="A7" s="5"/>
    </row>
    <row r="8" spans="1:8" x14ac:dyDescent="0.25">
      <c r="A8" s="6"/>
    </row>
    <row r="9" spans="1:8" x14ac:dyDescent="0.25">
      <c r="A9" s="6"/>
    </row>
    <row r="10" spans="1:8" x14ac:dyDescent="0.25">
      <c r="A10" s="6"/>
    </row>
    <row r="11" spans="1:8" x14ac:dyDescent="0.25">
      <c r="A11" s="6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/>
  </sheetViews>
  <sheetFormatPr defaultColWidth="8.7109375" defaultRowHeight="15" x14ac:dyDescent="0.25"/>
  <cols>
    <col min="1" max="1" width="56" customWidth="1"/>
    <col min="2" max="5" width="15" customWidth="1"/>
    <col min="6" max="6" width="11" customWidth="1"/>
  </cols>
  <sheetData>
    <row r="1" spans="1:6" ht="31.5" customHeigh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</row>
    <row r="2" spans="1:6" x14ac:dyDescent="0.25">
      <c r="A2" s="7" t="s">
        <v>18</v>
      </c>
      <c r="B2" s="2" t="s">
        <v>19</v>
      </c>
      <c r="C2" s="2" t="s">
        <v>19</v>
      </c>
      <c r="D2" s="2" t="s">
        <v>19</v>
      </c>
      <c r="E2" s="2" t="s">
        <v>19</v>
      </c>
      <c r="F2" s="2" t="str">
        <f t="shared" ref="F2:F8" si="0">IF(COUNTIF(B2:E2,"+")&gt;0,"да","нет")</f>
        <v>да</v>
      </c>
    </row>
    <row r="3" spans="1:6" x14ac:dyDescent="0.25">
      <c r="A3" s="7" t="s">
        <v>20</v>
      </c>
      <c r="B3" s="2" t="s">
        <v>19</v>
      </c>
      <c r="C3" s="2" t="s">
        <v>19</v>
      </c>
      <c r="D3" s="2" t="s">
        <v>19</v>
      </c>
      <c r="E3" s="2" t="s">
        <v>19</v>
      </c>
      <c r="F3" s="2" t="str">
        <f t="shared" si="0"/>
        <v>да</v>
      </c>
    </row>
    <row r="4" spans="1:6" x14ac:dyDescent="0.25">
      <c r="A4" s="7" t="s">
        <v>21</v>
      </c>
      <c r="B4" s="2" t="s">
        <v>19</v>
      </c>
      <c r="C4" s="2" t="s">
        <v>19</v>
      </c>
      <c r="D4" s="2" t="s">
        <v>19</v>
      </c>
      <c r="E4" s="2" t="s">
        <v>19</v>
      </c>
      <c r="F4" s="2" t="str">
        <f t="shared" si="0"/>
        <v>да</v>
      </c>
    </row>
    <row r="5" spans="1:6" ht="28.5" x14ac:dyDescent="0.25">
      <c r="A5" s="7" t="s">
        <v>22</v>
      </c>
      <c r="B5" s="2" t="s">
        <v>19</v>
      </c>
      <c r="C5" s="2" t="s">
        <v>19</v>
      </c>
      <c r="D5" s="2" t="s">
        <v>19</v>
      </c>
      <c r="E5" s="2" t="s">
        <v>19</v>
      </c>
      <c r="F5" s="2" t="str">
        <f t="shared" si="0"/>
        <v>да</v>
      </c>
    </row>
    <row r="6" spans="1:6" ht="28.5" x14ac:dyDescent="0.25">
      <c r="A6" s="7" t="s">
        <v>23</v>
      </c>
      <c r="B6" s="2" t="s">
        <v>19</v>
      </c>
      <c r="C6" s="2" t="s">
        <v>19</v>
      </c>
      <c r="D6" s="2" t="s">
        <v>19</v>
      </c>
      <c r="E6" s="2" t="s">
        <v>19</v>
      </c>
      <c r="F6" s="2" t="str">
        <f t="shared" si="0"/>
        <v>да</v>
      </c>
    </row>
    <row r="7" spans="1:6" x14ac:dyDescent="0.25">
      <c r="A7" s="7" t="s">
        <v>24</v>
      </c>
      <c r="B7" s="2" t="s">
        <v>19</v>
      </c>
      <c r="C7" s="2" t="s">
        <v>19</v>
      </c>
      <c r="D7" s="2" t="s">
        <v>19</v>
      </c>
      <c r="E7" s="2" t="s">
        <v>19</v>
      </c>
      <c r="F7" s="2" t="str">
        <f t="shared" si="0"/>
        <v>да</v>
      </c>
    </row>
    <row r="8" spans="1:6" x14ac:dyDescent="0.25">
      <c r="A8" s="7" t="s">
        <v>25</v>
      </c>
      <c r="B8" s="2"/>
      <c r="C8" s="2"/>
      <c r="D8" s="2"/>
      <c r="E8" s="2" t="s">
        <v>19</v>
      </c>
      <c r="F8" s="2" t="str">
        <f t="shared" si="0"/>
        <v>да</v>
      </c>
    </row>
    <row r="10" spans="1:6" ht="30" x14ac:dyDescent="0.25">
      <c r="A10" s="8" t="s">
        <v>26</v>
      </c>
      <c r="B10" s="9">
        <f>COUNTIF(F2:F8,"да")/ROWS(F2:F8)</f>
        <v>1</v>
      </c>
    </row>
    <row r="11" spans="1:6" x14ac:dyDescent="0.25">
      <c r="A11" s="5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Тесты</vt:lpstr>
      <vt:lpstr>Белый ящик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1</cp:lastModifiedBy>
  <cp:revision>0</cp:revision>
  <dcterms:created xsi:type="dcterms:W3CDTF">2026-10-15T13:43:02Z</dcterms:created>
  <dcterms:modified xsi:type="dcterms:W3CDTF">2026-10-15T14:09:39Z</dcterms:modified>
  <dc:language>en-US</dc:language>
</cp:coreProperties>
</file>